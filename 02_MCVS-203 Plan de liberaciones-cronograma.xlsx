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00_DATOS\02_CONSULTORIAS\00_MIDAGRI\2025\79796-2025\01_Entregable\"/>
    </mc:Choice>
  </mc:AlternateContent>
  <xr:revisionPtr revIDLastSave="0" documentId="13_ncr:1_{F19F61CB-14F1-4674-B279-1DF661DF22D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 de Liberaciones" sheetId="1" r:id="rId1"/>
    <sheet name="Hoja1" sheetId="3" r:id="rId2"/>
    <sheet name="Lista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gwmRJdRbDRCSkhS5nKZBRwSmDvlg=="/>
    </ext>
  </extLst>
</workbook>
</file>

<file path=xl/calcChain.xml><?xml version="1.0" encoding="utf-8"?>
<calcChain xmlns="http://schemas.openxmlformats.org/spreadsheetml/2006/main">
  <c r="K8" i="3" l="1"/>
  <c r="K7" i="3"/>
  <c r="H17" i="1"/>
</calcChain>
</file>

<file path=xl/sharedStrings.xml><?xml version="1.0" encoding="utf-8"?>
<sst xmlns="http://schemas.openxmlformats.org/spreadsheetml/2006/main" count="127" uniqueCount="101">
  <si>
    <t>PLAN DE LIBERACIONES-CRONOGRAMA</t>
  </si>
  <si>
    <t>&lt;&lt;OFICINA GENERAL DE TECNOLOGÍA DE LA INFORMACIÓN O QUIEN HAGA SUS VECES&gt;&gt;</t>
  </si>
  <si>
    <t>Proyecto</t>
  </si>
  <si>
    <t>Responsable</t>
  </si>
  <si>
    <t>Fecha de actualización</t>
  </si>
  <si>
    <t>ID</t>
  </si>
  <si>
    <t>Historia de Usuario</t>
  </si>
  <si>
    <t>Estimación de Esfuerzo</t>
  </si>
  <si>
    <t>Prioridad</t>
  </si>
  <si>
    <t>Entregable (Release)</t>
  </si>
  <si>
    <t>Fecha Estimada de Liberación/Entrega</t>
  </si>
  <si>
    <t>Fecha de Liberación/Entrega</t>
  </si>
  <si>
    <t>Sprint</t>
  </si>
  <si>
    <t>Fecha de Inicio de Sprint</t>
  </si>
  <si>
    <t>Fecha Estimada de Liberación/Entrega del Sprint</t>
  </si>
  <si>
    <t>Criterios de Terminado del Sprint</t>
  </si>
  <si>
    <t>Comentarios</t>
  </si>
  <si>
    <t>Release1</t>
  </si>
  <si>
    <t>MCVS-203</t>
  </si>
  <si>
    <r>
      <rPr>
        <b/>
        <sz val="8"/>
        <color theme="1"/>
        <rFont val="Arial"/>
        <family val="2"/>
      </rPr>
      <t>Resolución Ministerial N°                   -2022-MIDAGRI</t>
    </r>
    <r>
      <rPr>
        <sz val="8"/>
        <color rgb="FF000000"/>
        <rFont val="Arial"/>
        <family val="2"/>
      </rPr>
      <t xml:space="preserve"> </t>
    </r>
  </si>
  <si>
    <t>Página 1 de 1</t>
  </si>
  <si>
    <t>Cifrar</t>
  </si>
  <si>
    <t>To Do</t>
  </si>
  <si>
    <t>En curso</t>
  </si>
  <si>
    <t>Terminado</t>
  </si>
  <si>
    <t>Épica1</t>
  </si>
  <si>
    <t>Épica2</t>
  </si>
  <si>
    <t>Épica3</t>
  </si>
  <si>
    <t>Tipo usuario 1</t>
  </si>
  <si>
    <t>Tipo usuario 2</t>
  </si>
  <si>
    <t>Tipo usuario 3</t>
  </si>
  <si>
    <t>Release2</t>
  </si>
  <si>
    <t>Release3</t>
  </si>
  <si>
    <t>DAVID LAIZA TORRES</t>
  </si>
  <si>
    <t>Servicio de análisis y validación de datos geoespaciales de los polígonos de cultivo de café, caco y palma aceitera.</t>
  </si>
  <si>
    <t>2421-2025-001</t>
  </si>
  <si>
    <t>Alta</t>
  </si>
  <si>
    <t>v1</t>
  </si>
  <si>
    <t>2421-2025-002</t>
  </si>
  <si>
    <t>2421-2025-003</t>
  </si>
  <si>
    <t>2421-2025-004</t>
  </si>
  <si>
    <t>2421-2025-005</t>
  </si>
  <si>
    <t>v2</t>
  </si>
  <si>
    <t>- Diseñar y entregar la estructura base de la GDB + diccionario de datos
- Script de superposición y limpieza topológica (V1) + capa piloto
- Geoproceso de exclusiones piloto + Polígonos_Validados_30d</t>
  </si>
  <si>
    <t>- Script revisión tabular (v1) + reporte inconsistencias
- Script detección polígonos ≤4 vértices + capa VertexFlag_30d
- Control de versiones y respaldos (v1)
- Informe técnico parcial 1</t>
  </si>
  <si>
    <t>- Actualizar GDB (v2) con campo FUENTE + validación dominios
- Superposición y limpieza topológica regional
- Geoproceso de exclusiones regional
- Script revisión tabular (v2) + reporte comparativo 30-60 días
- Script detección extendida polígonos ≤4 vértices</t>
  </si>
  <si>
    <t>- Generar visor y temáticos de avance (v1)
- Reporte técnico mensual con incidencias
- Control de versiones y respaldos (v2) + matriz input-output
- Informe técnico parcial 2 con matriz de riesgos actualizada</t>
  </si>
  <si>
    <t>- Entregar GDB final integrada + documentación técnica
- Consolidar paquete de automatización (scripts, runner, README)
- Informe técnico final con lecciones aprendidas</t>
  </si>
  <si>
    <t>Tema</t>
  </si>
  <si>
    <t>Duración</t>
  </si>
  <si>
    <t>Modalidad</t>
  </si>
  <si>
    <t>Arquitectura de ArcGIS Server y PostgreSQL</t>
  </si>
  <si>
    <t>2 horas</t>
  </si>
  <si>
    <t>Teórico</t>
  </si>
  <si>
    <t>Publicación de servicios seguros</t>
  </si>
  <si>
    <t>3 horas</t>
  </si>
  <si>
    <t>Teórico-práctico</t>
  </si>
  <si>
    <t>Conexiones de lectura y roles en PostgreSQL</t>
  </si>
  <si>
    <t>Práctico</t>
  </si>
  <si>
    <t>Herramientas de geoprocesamiento</t>
  </si>
  <si>
    <t>Base de publicación tipo réplica</t>
  </si>
  <si>
    <t>Mantenimiento preventivo de PostgreSQL</t>
  </si>
  <si>
    <t>Monitoreo y trazabilidad</t>
  </si>
  <si>
    <t>Documentación técnica y estándares</t>
  </si>
  <si>
    <t>1 hora</t>
  </si>
  <si>
    <t>Módulo</t>
  </si>
  <si>
    <t>Servicio</t>
  </si>
  <si>
    <t>Tipo</t>
  </si>
  <si>
    <t>RTO</t>
  </si>
  <si>
    <t>RPO</t>
  </si>
  <si>
    <t>Mapas de riesgo</t>
  </si>
  <si>
    <t>Consulta</t>
  </si>
  <si>
    <t>2h</t>
  </si>
  <si>
    <t>15min</t>
  </si>
  <si>
    <t>Impresión institucional</t>
  </si>
  <si>
    <t>Geoprocesamiento</t>
  </si>
  <si>
    <t>Media</t>
  </si>
  <si>
    <t>4h</t>
  </si>
  <si>
    <t>1h</t>
  </si>
  <si>
    <t>Base de datos de edición</t>
  </si>
  <si>
    <t>PostgreSQL</t>
  </si>
  <si>
    <t>5min</t>
  </si>
  <si>
    <t>Servicios públicos</t>
  </si>
  <si>
    <t>Web</t>
  </si>
  <si>
    <t>6h</t>
  </si>
  <si>
    <t>Frecuencia</t>
  </si>
  <si>
    <t>Simulacro de DR</t>
  </si>
  <si>
    <t>Trimestral</t>
  </si>
  <si>
    <t>Equipo técnico</t>
  </si>
  <si>
    <t>Auditoría de roles</t>
  </si>
  <si>
    <t>Mensual</t>
  </si>
  <si>
    <t>Seguridad TI</t>
  </si>
  <si>
    <t>Validación de backups</t>
  </si>
  <si>
    <t>Semanal</t>
  </si>
  <si>
    <t>DBA</t>
  </si>
  <si>
    <t>Revisión de certificados</t>
  </si>
  <si>
    <t>Infraestructura</t>
  </si>
  <si>
    <t>Actualización del plan</t>
  </si>
  <si>
    <t>Semestral</t>
  </si>
  <si>
    <t>Coordinador GIS</t>
  </si>
  <si>
    <t>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</si>
</sst>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</font>
    <font>
      <sz val="11"/>
      <color theme="1"/>
      <name val="Arial"/>
      <family val="2"/>
    </font>
    <font>
      <sz val="8"/>
      <color rgb="FF000000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/>
    <xf numFmtId="0" fontId="2" fillId="2" borderId="6" xfId="0" applyFont="1" applyFill="1" applyBorder="1"/>
    <xf numFmtId="0" fontId="6" fillId="3" borderId="9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2" fillId="2" borderId="12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8" fillId="0" borderId="12" xfId="0" applyFont="1" applyBorder="1"/>
    <xf numFmtId="0" fontId="5" fillId="2" borderId="1" xfId="0" applyFont="1" applyFill="1" applyBorder="1"/>
    <xf numFmtId="0" fontId="5" fillId="0" borderId="0" xfId="0" applyFont="1"/>
    <xf numFmtId="0" fontId="5" fillId="0" borderId="0" xfId="0" applyFont="1" applyAlignment="1">
      <alignment horizontal="right"/>
    </xf>
    <xf numFmtId="0" fontId="2" fillId="0" borderId="0" xfId="0" applyFont="1"/>
    <xf numFmtId="14" fontId="2" fillId="2" borderId="12" xfId="0" applyNumberFormat="1" applyFont="1" applyFill="1" applyBorder="1"/>
    <xf numFmtId="0" fontId="2" fillId="2" borderId="10" xfId="0" applyFont="1" applyFill="1" applyBorder="1"/>
    <xf numFmtId="0" fontId="2" fillId="2" borderId="12" xfId="0" quotePrefix="1" applyFont="1" applyFill="1" applyBorder="1" applyAlignment="1">
      <alignment wrapText="1"/>
    </xf>
    <xf numFmtId="0" fontId="2" fillId="2" borderId="12" xfId="0" applyFont="1" applyFill="1" applyBorder="1" applyAlignment="1">
      <alignment vertical="center"/>
    </xf>
    <xf numFmtId="0" fontId="11" fillId="0" borderId="0" xfId="0" quotePrefix="1" applyFont="1" applyAlignment="1">
      <alignment wrapText="1"/>
    </xf>
    <xf numFmtId="0" fontId="2" fillId="2" borderId="16" xfId="0" quotePrefix="1" applyFont="1" applyFill="1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7" xfId="0" applyFont="1" applyBorder="1"/>
    <xf numFmtId="0" fontId="4" fillId="0" borderId="8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2" fillId="4" borderId="10" xfId="0" applyFont="1" applyFill="1" applyBorder="1" applyAlignment="1">
      <alignment horizontal="center"/>
    </xf>
    <xf numFmtId="0" fontId="4" fillId="0" borderId="11" xfId="0" applyFont="1" applyBorder="1"/>
    <xf numFmtId="14" fontId="2" fillId="4" borderId="10" xfId="0" applyNumberFormat="1" applyFont="1" applyFill="1" applyBorder="1" applyAlignment="1">
      <alignment horizontal="center"/>
    </xf>
    <xf numFmtId="0" fontId="0" fillId="0" borderId="16" xfId="0" applyBorder="1" applyAlignment="1">
      <alignment vertical="center" wrapText="1"/>
    </xf>
    <xf numFmtId="0" fontId="13" fillId="6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6" xfId="0" applyFont="1" applyBorder="1" applyAlignment="1">
      <alignment vertical="center" wrapText="1"/>
    </xf>
    <xf numFmtId="0" fontId="12" fillId="6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strike/>
        <color rgb="FF7F7F7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0</xdr:rowOff>
    </xdr:from>
    <xdr:ext cx="2428875" cy="457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92"/>
  <sheetViews>
    <sheetView topLeftCell="A14" zoomScale="85" zoomScaleNormal="85" workbookViewId="0">
      <selection activeCell="E11" sqref="E11"/>
    </sheetView>
  </sheetViews>
  <sheetFormatPr baseColWidth="10" defaultColWidth="12.59765625" defaultRowHeight="15" customHeight="1" x14ac:dyDescent="0.25"/>
  <cols>
    <col min="1" max="1" width="2.19921875" customWidth="1"/>
    <col min="2" max="2" width="20.09765625" customWidth="1"/>
    <col min="3" max="3" width="28.59765625" customWidth="1"/>
    <col min="4" max="4" width="18.09765625" customWidth="1"/>
    <col min="5" max="5" width="19.3984375" customWidth="1"/>
    <col min="6" max="6" width="10.09765625" customWidth="1"/>
    <col min="7" max="7" width="17.3984375" customWidth="1"/>
    <col min="8" max="8" width="18.09765625" customWidth="1"/>
    <col min="9" max="9" width="10.09765625" customWidth="1"/>
    <col min="10" max="10" width="14.19921875" customWidth="1"/>
    <col min="11" max="11" width="21.59765625" customWidth="1"/>
    <col min="12" max="12" width="17.5" customWidth="1"/>
    <col min="13" max="13" width="19.5" customWidth="1"/>
    <col min="14" max="14" width="21.59765625" customWidth="1"/>
    <col min="15" max="25" width="9.3984375" customWidth="1"/>
  </cols>
  <sheetData>
    <row r="1" spans="1:25" ht="14.25" customHeight="1" x14ac:dyDescent="0.3">
      <c r="A1" s="1"/>
      <c r="B1" s="1"/>
      <c r="C1" s="1"/>
      <c r="D1" s="21" t="s">
        <v>0</v>
      </c>
      <c r="E1" s="22"/>
      <c r="F1" s="27" t="s">
        <v>1</v>
      </c>
      <c r="G1" s="2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3">
      <c r="A2" s="1"/>
      <c r="B2" s="1"/>
      <c r="C2" s="1"/>
      <c r="D2" s="23"/>
      <c r="E2" s="24"/>
      <c r="F2" s="23"/>
      <c r="G2" s="2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25" customHeight="1" x14ac:dyDescent="0.3">
      <c r="A3" s="1"/>
      <c r="B3" s="2"/>
      <c r="C3" s="2"/>
      <c r="D3" s="25"/>
      <c r="E3" s="26"/>
      <c r="F3" s="25"/>
      <c r="G3" s="2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8.8" customHeight="1" x14ac:dyDescent="0.3">
      <c r="A5" s="1"/>
      <c r="B5" s="3" t="s">
        <v>2</v>
      </c>
      <c r="C5" s="28" t="s">
        <v>34</v>
      </c>
      <c r="D5" s="2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25" customHeight="1" x14ac:dyDescent="0.3">
      <c r="A6" s="1"/>
      <c r="B6" s="3" t="s">
        <v>3</v>
      </c>
      <c r="C6" s="30" t="s">
        <v>33</v>
      </c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4" x14ac:dyDescent="0.3">
      <c r="A7" s="1"/>
      <c r="B7" s="4" t="s">
        <v>4</v>
      </c>
      <c r="C7" s="32">
        <v>46356</v>
      </c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47.25" customHeight="1" x14ac:dyDescent="0.3">
      <c r="A9" s="1"/>
      <c r="B9" s="5" t="s">
        <v>5</v>
      </c>
      <c r="C9" s="5" t="s">
        <v>6</v>
      </c>
      <c r="D9" s="5" t="s">
        <v>7</v>
      </c>
      <c r="E9" s="5" t="s">
        <v>8</v>
      </c>
      <c r="F9" s="5" t="s">
        <v>9</v>
      </c>
      <c r="G9" s="5" t="s">
        <v>10</v>
      </c>
      <c r="H9" s="5" t="s">
        <v>11</v>
      </c>
      <c r="I9" s="5" t="s">
        <v>12</v>
      </c>
      <c r="J9" s="5" t="s">
        <v>13</v>
      </c>
      <c r="K9" s="6" t="s">
        <v>14</v>
      </c>
      <c r="L9" s="5" t="s">
        <v>11</v>
      </c>
      <c r="M9" s="6" t="s">
        <v>15</v>
      </c>
      <c r="N9" s="5" t="s">
        <v>16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00.8" x14ac:dyDescent="0.3">
      <c r="A10" s="1"/>
      <c r="B10" s="18" t="s">
        <v>35</v>
      </c>
      <c r="C10" s="17" t="s">
        <v>43</v>
      </c>
      <c r="D10" s="7">
        <v>50</v>
      </c>
      <c r="E10" s="7" t="s">
        <v>36</v>
      </c>
      <c r="F10" s="7" t="s">
        <v>37</v>
      </c>
      <c r="G10" s="15">
        <v>46014</v>
      </c>
      <c r="H10" s="15">
        <v>46014</v>
      </c>
      <c r="I10" s="7">
        <v>1</v>
      </c>
      <c r="J10" s="15">
        <v>46014</v>
      </c>
      <c r="K10" s="15">
        <v>46014</v>
      </c>
      <c r="L10" s="8"/>
      <c r="M10" s="7"/>
      <c r="N10" s="9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00.8" x14ac:dyDescent="0.3">
      <c r="A11" s="1"/>
      <c r="B11" s="7" t="s">
        <v>38</v>
      </c>
      <c r="C11" s="17" t="s">
        <v>44</v>
      </c>
      <c r="D11" s="7">
        <v>50</v>
      </c>
      <c r="E11" s="7" t="s">
        <v>36</v>
      </c>
      <c r="F11" s="7" t="s">
        <v>37</v>
      </c>
      <c r="G11" s="15">
        <v>46014</v>
      </c>
      <c r="H11" s="15">
        <v>46014</v>
      </c>
      <c r="I11" s="7">
        <v>1</v>
      </c>
      <c r="J11" s="15">
        <v>46014</v>
      </c>
      <c r="K11" s="15">
        <v>46014</v>
      </c>
      <c r="L11" s="8"/>
      <c r="M11" s="7"/>
      <c r="N11" s="9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2.6" x14ac:dyDescent="0.3">
      <c r="A12" s="1"/>
      <c r="B12" s="7" t="s">
        <v>39</v>
      </c>
      <c r="C12" s="19" t="s">
        <v>45</v>
      </c>
      <c r="D12" s="7">
        <v>50</v>
      </c>
      <c r="E12" s="7" t="s">
        <v>36</v>
      </c>
      <c r="F12" s="7" t="s">
        <v>42</v>
      </c>
      <c r="G12" s="15">
        <v>46014</v>
      </c>
      <c r="H12" s="15">
        <v>46014</v>
      </c>
      <c r="I12" s="7">
        <v>1</v>
      </c>
      <c r="J12" s="15">
        <v>46014</v>
      </c>
      <c r="K12" s="15">
        <v>46014</v>
      </c>
      <c r="L12" s="8"/>
      <c r="M12" s="10"/>
      <c r="N12" s="9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06.2" x14ac:dyDescent="0.3">
      <c r="A13" s="1"/>
      <c r="B13" s="7" t="s">
        <v>40</v>
      </c>
      <c r="C13" s="19" t="s">
        <v>46</v>
      </c>
      <c r="D13" s="7">
        <v>50</v>
      </c>
      <c r="E13" s="7" t="s">
        <v>36</v>
      </c>
      <c r="F13" s="7" t="s">
        <v>42</v>
      </c>
      <c r="G13" s="15">
        <v>46014</v>
      </c>
      <c r="H13" s="15">
        <v>46014</v>
      </c>
      <c r="I13" s="7">
        <v>1</v>
      </c>
      <c r="J13" s="15">
        <v>46014</v>
      </c>
      <c r="K13" s="15">
        <v>46014</v>
      </c>
      <c r="L13" s="8"/>
      <c r="M13" s="7"/>
      <c r="N13" s="9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00.8" x14ac:dyDescent="0.3">
      <c r="A14" s="1"/>
      <c r="B14" s="16" t="s">
        <v>41</v>
      </c>
      <c r="C14" s="20" t="s">
        <v>47</v>
      </c>
      <c r="D14" s="7">
        <v>50</v>
      </c>
      <c r="E14" s="7" t="s">
        <v>36</v>
      </c>
      <c r="F14" s="7" t="s">
        <v>42</v>
      </c>
      <c r="G14" s="15">
        <v>46014</v>
      </c>
      <c r="H14" s="15">
        <v>46014</v>
      </c>
      <c r="I14" s="7">
        <v>1</v>
      </c>
      <c r="J14" s="15">
        <v>46014</v>
      </c>
      <c r="K14" s="15">
        <v>46014</v>
      </c>
      <c r="L14" s="8"/>
      <c r="M14" s="10"/>
      <c r="N14" s="9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25" customHeight="1" x14ac:dyDescent="0.3">
      <c r="A17" s="1"/>
      <c r="B17" s="11" t="s">
        <v>18</v>
      </c>
      <c r="C17" s="1"/>
      <c r="D17" s="1"/>
      <c r="E17" s="1"/>
      <c r="F17" s="1"/>
      <c r="G17" s="15">
        <v>45960</v>
      </c>
      <c r="H17" s="15">
        <f>G17+60</f>
        <v>46020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25" customHeight="1" x14ac:dyDescent="0.3">
      <c r="A18" s="1"/>
      <c r="B18" s="12" t="s">
        <v>19</v>
      </c>
      <c r="C18" s="1"/>
      <c r="D18" s="1"/>
      <c r="E18" s="1"/>
      <c r="F18" s="1"/>
      <c r="G18" s="1"/>
      <c r="H18" s="13" t="s">
        <v>20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</sheetData>
  <mergeCells count="5">
    <mergeCell ref="D1:E3"/>
    <mergeCell ref="F1:G3"/>
    <mergeCell ref="C5:D5"/>
    <mergeCell ref="C6:D6"/>
    <mergeCell ref="C7:D7"/>
  </mergeCells>
  <phoneticPr fontId="10" type="noConversion"/>
  <conditionalFormatting sqref="B9:N9">
    <cfRule type="expression" dxfId="0" priority="1">
      <formula>#REF!="rejected"</formula>
    </cfRule>
  </conditionalFormatting>
  <pageMargins left="0.70866141732283472" right="0.70866141732283472" top="0.74803149606299213" bottom="0.74803149606299213" header="0" footer="0"/>
  <pageSetup paperSize="8" scale="1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C03931CA-2243-4D3F-8B42-CC3C541514F4}">
          <x14:formula1>
            <xm:f>Listas!$A$1:$A$12</xm:f>
          </x14:formula1>
          <xm:sqref>D10:D14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D781-9730-4438-9F45-A76BAC2F9830}">
  <dimension ref="C2:M32"/>
  <sheetViews>
    <sheetView tabSelected="1" topLeftCell="A16" workbookViewId="0">
      <selection activeCell="I27" sqref="I27:K32"/>
    </sheetView>
  </sheetViews>
  <sheetFormatPr baseColWidth="10" defaultRowHeight="13.8" x14ac:dyDescent="0.25"/>
  <cols>
    <col min="3" max="3" width="7.296875" style="36" bestFit="1" customWidth="1"/>
    <col min="4" max="4" width="30.09765625" customWidth="1"/>
    <col min="5" max="5" width="12.09765625" customWidth="1"/>
    <col min="6" max="6" width="18.3984375" customWidth="1"/>
    <col min="9" max="9" width="33.09765625" customWidth="1"/>
    <col min="10" max="10" width="16.69921875" customWidth="1"/>
    <col min="11" max="11" width="22.296875" customWidth="1"/>
  </cols>
  <sheetData>
    <row r="2" spans="3:11" x14ac:dyDescent="0.25">
      <c r="C2" s="34" t="s">
        <v>65</v>
      </c>
      <c r="D2" s="34" t="s">
        <v>48</v>
      </c>
      <c r="E2" s="34" t="s">
        <v>49</v>
      </c>
      <c r="F2" s="34" t="s">
        <v>50</v>
      </c>
    </row>
    <row r="3" spans="3:11" ht="27.6" x14ac:dyDescent="0.25">
      <c r="C3" s="35">
        <v>1</v>
      </c>
      <c r="D3" s="33" t="s">
        <v>51</v>
      </c>
      <c r="E3" s="33" t="s">
        <v>52</v>
      </c>
      <c r="F3" s="33" t="s">
        <v>53</v>
      </c>
    </row>
    <row r="4" spans="3:11" x14ac:dyDescent="0.25">
      <c r="C4" s="35">
        <v>2</v>
      </c>
      <c r="D4" s="33" t="s">
        <v>54</v>
      </c>
      <c r="E4" s="33" t="s">
        <v>55</v>
      </c>
      <c r="F4" s="33" t="s">
        <v>56</v>
      </c>
    </row>
    <row r="5" spans="3:11" ht="27.6" x14ac:dyDescent="0.25">
      <c r="C5" s="35">
        <v>3</v>
      </c>
      <c r="D5" s="33" t="s">
        <v>57</v>
      </c>
      <c r="E5" s="33" t="s">
        <v>52</v>
      </c>
      <c r="F5" s="33" t="s">
        <v>58</v>
      </c>
    </row>
    <row r="6" spans="3:11" x14ac:dyDescent="0.25">
      <c r="C6" s="35">
        <v>4</v>
      </c>
      <c r="D6" s="33" t="s">
        <v>59</v>
      </c>
      <c r="E6" s="33" t="s">
        <v>55</v>
      </c>
      <c r="F6" s="33" t="s">
        <v>58</v>
      </c>
    </row>
    <row r="7" spans="3:11" x14ac:dyDescent="0.25">
      <c r="C7" s="35">
        <v>5</v>
      </c>
      <c r="D7" s="33" t="s">
        <v>60</v>
      </c>
      <c r="E7" s="33" t="s">
        <v>52</v>
      </c>
      <c r="F7" s="33" t="s">
        <v>56</v>
      </c>
      <c r="J7">
        <v>24000</v>
      </c>
      <c r="K7">
        <f>J7*0.3</f>
        <v>7200</v>
      </c>
    </row>
    <row r="8" spans="3:11" ht="27.6" x14ac:dyDescent="0.25">
      <c r="C8" s="35">
        <v>6</v>
      </c>
      <c r="D8" s="33" t="s">
        <v>61</v>
      </c>
      <c r="E8" s="33" t="s">
        <v>55</v>
      </c>
      <c r="F8" s="33" t="s">
        <v>58</v>
      </c>
      <c r="K8">
        <f>J7*0.4</f>
        <v>9600</v>
      </c>
    </row>
    <row r="9" spans="3:11" x14ac:dyDescent="0.25">
      <c r="C9" s="35">
        <v>7</v>
      </c>
      <c r="D9" s="33" t="s">
        <v>62</v>
      </c>
      <c r="E9" s="33" t="s">
        <v>52</v>
      </c>
      <c r="F9" s="33" t="s">
        <v>53</v>
      </c>
    </row>
    <row r="10" spans="3:11" ht="27.6" x14ac:dyDescent="0.25">
      <c r="C10" s="35">
        <v>8</v>
      </c>
      <c r="D10" s="33" t="s">
        <v>63</v>
      </c>
      <c r="E10" s="33" t="s">
        <v>64</v>
      </c>
      <c r="F10" s="33" t="s">
        <v>53</v>
      </c>
    </row>
    <row r="17" spans="9:13" x14ac:dyDescent="0.25">
      <c r="I17" s="34" t="s">
        <v>66</v>
      </c>
      <c r="J17" s="34" t="s">
        <v>67</v>
      </c>
      <c r="K17" s="34" t="s">
        <v>8</v>
      </c>
      <c r="L17" s="34" t="s">
        <v>68</v>
      </c>
      <c r="M17" s="34" t="s">
        <v>69</v>
      </c>
    </row>
    <row r="18" spans="9:13" x14ac:dyDescent="0.25">
      <c r="I18" s="37" t="s">
        <v>70</v>
      </c>
      <c r="J18" s="37" t="s">
        <v>71</v>
      </c>
      <c r="K18" s="37" t="s">
        <v>36</v>
      </c>
      <c r="L18" s="37" t="s">
        <v>72</v>
      </c>
      <c r="M18" s="37" t="s">
        <v>73</v>
      </c>
    </row>
    <row r="19" spans="9:13" ht="27.6" x14ac:dyDescent="0.25">
      <c r="I19" s="37" t="s">
        <v>74</v>
      </c>
      <c r="J19" s="37" t="s">
        <v>75</v>
      </c>
      <c r="K19" s="37" t="s">
        <v>76</v>
      </c>
      <c r="L19" s="37" t="s">
        <v>77</v>
      </c>
      <c r="M19" s="37" t="s">
        <v>78</v>
      </c>
    </row>
    <row r="20" spans="9:13" x14ac:dyDescent="0.25">
      <c r="I20" s="37" t="s">
        <v>79</v>
      </c>
      <c r="J20" s="37" t="s">
        <v>80</v>
      </c>
      <c r="K20" s="37" t="s">
        <v>36</v>
      </c>
      <c r="L20" s="37" t="s">
        <v>78</v>
      </c>
      <c r="M20" s="37" t="s">
        <v>81</v>
      </c>
    </row>
    <row r="21" spans="9:13" x14ac:dyDescent="0.25">
      <c r="I21" s="37" t="s">
        <v>82</v>
      </c>
      <c r="J21" s="37" t="s">
        <v>83</v>
      </c>
      <c r="K21" s="37" t="s">
        <v>76</v>
      </c>
      <c r="L21" s="37" t="s">
        <v>84</v>
      </c>
      <c r="M21" s="37" t="s">
        <v>78</v>
      </c>
    </row>
    <row r="27" spans="9:13" x14ac:dyDescent="0.25">
      <c r="I27" s="38" t="s">
        <v>100</v>
      </c>
      <c r="J27" s="34" t="s">
        <v>85</v>
      </c>
      <c r="K27" s="34" t="s">
        <v>3</v>
      </c>
    </row>
    <row r="28" spans="9:13" x14ac:dyDescent="0.25">
      <c r="I28" s="37" t="s">
        <v>86</v>
      </c>
      <c r="J28" s="37" t="s">
        <v>87</v>
      </c>
      <c r="K28" s="37" t="s">
        <v>88</v>
      </c>
    </row>
    <row r="29" spans="9:13" x14ac:dyDescent="0.25">
      <c r="I29" s="37" t="s">
        <v>89</v>
      </c>
      <c r="J29" s="37" t="s">
        <v>90</v>
      </c>
      <c r="K29" s="37" t="s">
        <v>91</v>
      </c>
    </row>
    <row r="30" spans="9:13" x14ac:dyDescent="0.25">
      <c r="I30" s="37" t="s">
        <v>92</v>
      </c>
      <c r="J30" s="37" t="s">
        <v>93</v>
      </c>
      <c r="K30" s="37" t="s">
        <v>94</v>
      </c>
    </row>
    <row r="31" spans="9:13" x14ac:dyDescent="0.25">
      <c r="I31" s="37" t="s">
        <v>95</v>
      </c>
      <c r="J31" s="37" t="s">
        <v>90</v>
      </c>
      <c r="K31" s="37" t="s">
        <v>96</v>
      </c>
    </row>
    <row r="32" spans="9:13" x14ac:dyDescent="0.25">
      <c r="I32" s="37" t="s">
        <v>97</v>
      </c>
      <c r="J32" s="37" t="s">
        <v>98</v>
      </c>
      <c r="K32" s="37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1"/>
  <sheetViews>
    <sheetView workbookViewId="0">
      <selection activeCell="A12" sqref="A12"/>
    </sheetView>
  </sheetViews>
  <sheetFormatPr baseColWidth="10" defaultColWidth="12.59765625" defaultRowHeight="15" customHeight="1" x14ac:dyDescent="0.25"/>
  <cols>
    <col min="1" max="26" width="10" customWidth="1"/>
  </cols>
  <sheetData>
    <row r="1" spans="1:1" ht="14.25" customHeight="1" x14ac:dyDescent="0.3">
      <c r="A1" s="14">
        <v>0.5</v>
      </c>
    </row>
    <row r="2" spans="1:1" ht="14.25" customHeight="1" x14ac:dyDescent="0.3">
      <c r="A2" s="14">
        <v>0</v>
      </c>
    </row>
    <row r="3" spans="1:1" ht="14.25" customHeight="1" x14ac:dyDescent="0.3">
      <c r="A3" s="14">
        <v>1</v>
      </c>
    </row>
    <row r="4" spans="1:1" ht="14.25" customHeight="1" x14ac:dyDescent="0.3">
      <c r="A4" s="14">
        <v>2</v>
      </c>
    </row>
    <row r="5" spans="1:1" ht="14.25" customHeight="1" x14ac:dyDescent="0.3">
      <c r="A5" s="14">
        <v>3</v>
      </c>
    </row>
    <row r="6" spans="1:1" ht="14.25" customHeight="1" x14ac:dyDescent="0.3">
      <c r="A6" s="14">
        <v>5</v>
      </c>
    </row>
    <row r="7" spans="1:1" ht="14.25" customHeight="1" x14ac:dyDescent="0.3">
      <c r="A7" s="14">
        <v>8</v>
      </c>
    </row>
    <row r="8" spans="1:1" ht="14.25" customHeight="1" x14ac:dyDescent="0.3">
      <c r="A8" s="14">
        <v>13</v>
      </c>
    </row>
    <row r="9" spans="1:1" ht="14.25" customHeight="1" x14ac:dyDescent="0.3">
      <c r="A9" s="14">
        <v>20</v>
      </c>
    </row>
    <row r="10" spans="1:1" ht="14.25" customHeight="1" x14ac:dyDescent="0.3">
      <c r="A10" s="14">
        <v>40</v>
      </c>
    </row>
    <row r="11" spans="1:1" ht="14.25" customHeight="1" x14ac:dyDescent="0.3">
      <c r="A11" s="14">
        <v>50</v>
      </c>
    </row>
    <row r="12" spans="1:1" ht="14.25" customHeight="1" x14ac:dyDescent="0.3">
      <c r="A12" s="14">
        <v>100</v>
      </c>
    </row>
    <row r="13" spans="1:1" ht="14.25" customHeight="1" x14ac:dyDescent="0.25"/>
    <row r="14" spans="1:1" ht="14.25" customHeight="1" x14ac:dyDescent="0.25"/>
    <row r="15" spans="1:1" ht="14.25" customHeight="1" x14ac:dyDescent="0.25"/>
    <row r="16" spans="1:1" ht="14.25" customHeight="1" x14ac:dyDescent="0.3">
      <c r="A16" s="14" t="s">
        <v>21</v>
      </c>
    </row>
    <row r="17" spans="1:1" ht="14.25" customHeight="1" x14ac:dyDescent="0.3">
      <c r="A17" s="14" t="s">
        <v>22</v>
      </c>
    </row>
    <row r="18" spans="1:1" ht="14.25" customHeight="1" x14ac:dyDescent="0.3">
      <c r="A18" s="14" t="s">
        <v>23</v>
      </c>
    </row>
    <row r="19" spans="1:1" ht="14.25" customHeight="1" x14ac:dyDescent="0.3">
      <c r="A19" s="14" t="s">
        <v>24</v>
      </c>
    </row>
    <row r="20" spans="1:1" ht="14.25" customHeight="1" x14ac:dyDescent="0.25"/>
    <row r="21" spans="1:1" ht="14.25" customHeight="1" x14ac:dyDescent="0.25"/>
    <row r="22" spans="1:1" ht="14.25" customHeight="1" x14ac:dyDescent="0.3">
      <c r="A22" s="14" t="s">
        <v>25</v>
      </c>
    </row>
    <row r="23" spans="1:1" ht="14.25" customHeight="1" x14ac:dyDescent="0.3">
      <c r="A23" s="14" t="s">
        <v>26</v>
      </c>
    </row>
    <row r="24" spans="1:1" ht="14.25" customHeight="1" x14ac:dyDescent="0.3">
      <c r="A24" s="14" t="s">
        <v>27</v>
      </c>
    </row>
    <row r="25" spans="1:1" ht="14.25" customHeight="1" x14ac:dyDescent="0.25"/>
    <row r="26" spans="1:1" ht="14.25" customHeight="1" x14ac:dyDescent="0.25"/>
    <row r="27" spans="1:1" ht="14.25" customHeight="1" x14ac:dyDescent="0.3">
      <c r="A27" s="14">
        <v>1</v>
      </c>
    </row>
    <row r="28" spans="1:1" ht="14.25" customHeight="1" x14ac:dyDescent="0.3">
      <c r="A28" s="14">
        <v>2</v>
      </c>
    </row>
    <row r="29" spans="1:1" ht="14.25" customHeight="1" x14ac:dyDescent="0.3">
      <c r="A29" s="14">
        <v>3</v>
      </c>
    </row>
    <row r="30" spans="1:1" ht="14.25" customHeight="1" x14ac:dyDescent="0.25"/>
    <row r="31" spans="1:1" ht="14.25" customHeight="1" x14ac:dyDescent="0.25"/>
    <row r="32" spans="1:1" ht="14.25" customHeight="1" x14ac:dyDescent="0.3">
      <c r="A32" s="14" t="s">
        <v>28</v>
      </c>
    </row>
    <row r="33" spans="1:1" ht="14.25" customHeight="1" x14ac:dyDescent="0.3">
      <c r="A33" s="14" t="s">
        <v>29</v>
      </c>
    </row>
    <row r="34" spans="1:1" ht="14.25" customHeight="1" x14ac:dyDescent="0.3">
      <c r="A34" s="14" t="s">
        <v>30</v>
      </c>
    </row>
    <row r="35" spans="1:1" ht="14.25" customHeight="1" x14ac:dyDescent="0.25"/>
    <row r="36" spans="1:1" ht="14.25" customHeight="1" x14ac:dyDescent="0.25"/>
    <row r="37" spans="1:1" ht="14.25" customHeight="1" x14ac:dyDescent="0.3">
      <c r="A37" s="14" t="s">
        <v>17</v>
      </c>
    </row>
    <row r="38" spans="1:1" ht="14.25" customHeight="1" x14ac:dyDescent="0.3">
      <c r="A38" s="14" t="s">
        <v>31</v>
      </c>
    </row>
    <row r="39" spans="1:1" ht="14.25" customHeight="1" x14ac:dyDescent="0.3">
      <c r="A39" s="14" t="s">
        <v>32</v>
      </c>
    </row>
    <row r="40" spans="1:1" ht="14.25" customHeight="1" x14ac:dyDescent="0.25"/>
    <row r="41" spans="1:1" ht="14.25" customHeight="1" x14ac:dyDescent="0.25"/>
    <row r="42" spans="1:1" ht="14.25" customHeight="1" x14ac:dyDescent="0.25"/>
    <row r="43" spans="1:1" ht="14.25" customHeight="1" x14ac:dyDescent="0.25"/>
    <row r="44" spans="1:1" ht="14.25" customHeight="1" x14ac:dyDescent="0.25"/>
    <row r="45" spans="1:1" ht="14.25" customHeight="1" x14ac:dyDescent="0.25"/>
    <row r="46" spans="1:1" ht="14.25" customHeight="1" x14ac:dyDescent="0.25"/>
    <row r="47" spans="1:1" ht="14.25" customHeight="1" x14ac:dyDescent="0.25"/>
    <row r="48" spans="1: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de Liberaciones</vt:lpstr>
      <vt:lpstr>Hoja1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Jean-Paul SUBRA</dc:creator>
  <cp:lastModifiedBy>Calderon Franco, Francisco Medardo</cp:lastModifiedBy>
  <cp:lastPrinted>2025-12-01T04:51:18Z</cp:lastPrinted>
  <dcterms:created xsi:type="dcterms:W3CDTF">2014-04-10T04:38:41Z</dcterms:created>
  <dcterms:modified xsi:type="dcterms:W3CDTF">2025-12-01T21:32:09Z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864dfc2f-d4cc-47bc-ae68-d207564bbc62</vt:lpwstr>
  </property>
  <property fmtid="{D5CDD505-2E9C-101B-9397-08002B2CF9AE}" pid="3" name="ContentTypeId">
    <vt:lpwstr>0x010100F770ABC8F9B27C4C8461F4575C23FAEA</vt:lpwstr>
  </property>
  <property fmtid="{D5CDD505-2E9C-101B-9397-08002B2CF9AE}" pid="4" name="TaxKeyword">
    <vt:lpwstr/>
  </property>
  <property fmtid="{D5CDD505-2E9C-101B-9397-08002B2CF9AE}" pid="5" name="TaxCatchAll">
    <vt:lpwstr/>
  </property>
  <property fmtid="{D5CDD505-2E9C-101B-9397-08002B2CF9AE}" pid="6" name="TaxKeywordTaxHTField">
    <vt:lpwstr/>
  </property>
  <property fmtid="{D5CDD505-2E9C-101B-9397-08002B2CF9AE}" pid="7" name="WorkbookGuid">
    <vt:lpwstr>53e4738d-6dcd-484e-b0a6-9e3a4a9d2eee</vt:lpwstr>
  </property>
</Properties>
</file>